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15.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6" i="1" l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Q36" i="1" s="1"/>
  <c r="Q35" i="1"/>
  <c r="S35" i="1" s="1"/>
  <c r="Q34" i="1"/>
  <c r="S34" i="1" s="1"/>
  <c r="Q33" i="1"/>
  <c r="S33" i="1" s="1"/>
  <c r="Q32" i="1"/>
  <c r="S32" i="1" s="1"/>
  <c r="S31" i="1"/>
  <c r="Q31" i="1"/>
  <c r="Q30" i="1"/>
  <c r="S30" i="1" s="1"/>
  <c r="Q29" i="1"/>
  <c r="S29" i="1" s="1"/>
  <c r="Q28" i="1"/>
  <c r="S28" i="1" s="1"/>
  <c r="Q27" i="1"/>
  <c r="S27" i="1" s="1"/>
  <c r="Q26" i="1"/>
  <c r="S26" i="1" s="1"/>
  <c r="S25" i="1"/>
  <c r="Q25" i="1"/>
  <c r="Q24" i="1"/>
  <c r="S24" i="1" s="1"/>
  <c r="Q23" i="1"/>
  <c r="S23" i="1" s="1"/>
  <c r="Q22" i="1"/>
  <c r="S22" i="1" s="1"/>
  <c r="Q21" i="1"/>
  <c r="S21" i="1" s="1"/>
  <c r="Q20" i="1"/>
  <c r="S20" i="1" s="1"/>
  <c r="S19" i="1"/>
  <c r="Q19" i="1"/>
  <c r="Q18" i="1"/>
  <c r="S18" i="1" s="1"/>
  <c r="Q17" i="1"/>
  <c r="S17" i="1" s="1"/>
  <c r="Q16" i="1"/>
  <c r="S16" i="1" s="1"/>
  <c r="Q15" i="1"/>
  <c r="S15" i="1" s="1"/>
  <c r="Q14" i="1"/>
  <c r="S14" i="1" s="1"/>
  <c r="S13" i="1"/>
  <c r="Q13" i="1"/>
  <c r="Q12" i="1"/>
  <c r="S12" i="1" s="1"/>
  <c r="Q11" i="1"/>
  <c r="S11" i="1" s="1"/>
  <c r="Q10" i="1"/>
  <c r="S10" i="1" s="1"/>
  <c r="Q9" i="1"/>
  <c r="S9" i="1" s="1"/>
  <c r="Q8" i="1"/>
  <c r="S8" i="1" s="1"/>
  <c r="S7" i="1"/>
  <c r="Q7" i="1"/>
  <c r="Q6" i="1"/>
  <c r="S6" i="1" s="1"/>
  <c r="Q5" i="1"/>
  <c r="S5" i="1" s="1"/>
  <c r="Q4" i="1"/>
  <c r="S4" i="1" s="1"/>
  <c r="S36" i="1" l="1"/>
</calcChain>
</file>

<file path=xl/sharedStrings.xml><?xml version="1.0" encoding="utf-8"?>
<sst xmlns="http://schemas.openxmlformats.org/spreadsheetml/2006/main" count="103" uniqueCount="78">
  <si>
    <t>臺北市建成國中115年6月第8節鐘點費印領清冊</t>
    <phoneticPr fontId="4" type="noConversion"/>
  </si>
  <si>
    <t>日期</t>
  </si>
  <si>
    <t>總計</t>
    <phoneticPr fontId="4" type="noConversion"/>
  </si>
  <si>
    <t>鐘點費</t>
    <phoneticPr fontId="4" type="noConversion"/>
  </si>
  <si>
    <t>合計金額</t>
    <phoneticPr fontId="4" type="noConversion"/>
  </si>
  <si>
    <t>備註</t>
    <phoneticPr fontId="4" type="noConversion"/>
  </si>
  <si>
    <t xml:space="preserve">  職稱</t>
    <phoneticPr fontId="4" type="noConversion"/>
  </si>
  <si>
    <t>星期</t>
    <phoneticPr fontId="4" type="noConversion"/>
  </si>
  <si>
    <t>星期一</t>
    <phoneticPr fontId="4" type="noConversion"/>
  </si>
  <si>
    <t>星期二</t>
  </si>
  <si>
    <t>星期三</t>
  </si>
  <si>
    <t>星期四</t>
  </si>
  <si>
    <t>星期五</t>
  </si>
  <si>
    <t>星期一</t>
    <phoneticPr fontId="4" type="noConversion"/>
  </si>
  <si>
    <t>星期一</t>
    <phoneticPr fontId="4" type="noConversion"/>
  </si>
  <si>
    <t>學務主任</t>
  </si>
  <si>
    <t>王慈惠</t>
    <phoneticPr fontId="4" type="noConversion"/>
  </si>
  <si>
    <t>輔導主任</t>
  </si>
  <si>
    <t>黃怡君</t>
  </si>
  <si>
    <t>輔導組長</t>
  </si>
  <si>
    <t>洪筱仙</t>
  </si>
  <si>
    <t>資料組長</t>
  </si>
  <si>
    <t>王金泉</t>
  </si>
  <si>
    <t>701導師</t>
  </si>
  <si>
    <t>蘇育男</t>
  </si>
  <si>
    <t xml:space="preserve"> </t>
    <phoneticPr fontId="4" type="noConversion"/>
  </si>
  <si>
    <t>702導師</t>
  </si>
  <si>
    <t>劉佳忠</t>
  </si>
  <si>
    <t>703導師</t>
  </si>
  <si>
    <t>李信賢</t>
  </si>
  <si>
    <t>704導師</t>
  </si>
  <si>
    <t>蔡琇貞</t>
  </si>
  <si>
    <t>705導師</t>
  </si>
  <si>
    <t>沈婉立</t>
  </si>
  <si>
    <t>706導師</t>
  </si>
  <si>
    <t>黃元綺</t>
  </si>
  <si>
    <t>801導師</t>
  </si>
  <si>
    <t>胡家鳳</t>
  </si>
  <si>
    <t>802導師</t>
  </si>
  <si>
    <t>賴美玲</t>
  </si>
  <si>
    <t>803導師</t>
  </si>
  <si>
    <t>黃綉貴</t>
  </si>
  <si>
    <t>804導師</t>
  </si>
  <si>
    <t>陳銘君</t>
  </si>
  <si>
    <t>805導師</t>
  </si>
  <si>
    <t>蔡金祝</t>
  </si>
  <si>
    <t>807導師</t>
  </si>
  <si>
    <t>邱慶玲</t>
  </si>
  <si>
    <t>808導師</t>
  </si>
  <si>
    <t>馮品正</t>
  </si>
  <si>
    <t>906導師</t>
  </si>
  <si>
    <t>莊淨婷</t>
  </si>
  <si>
    <t>專任教師</t>
  </si>
  <si>
    <t>黃美蘭</t>
  </si>
  <si>
    <t>陳海新</t>
  </si>
  <si>
    <t>吳冠萱</t>
  </si>
  <si>
    <t>代理教師</t>
  </si>
  <si>
    <t>張雅筑</t>
  </si>
  <si>
    <t>陳惠美</t>
  </si>
  <si>
    <t>王依婷</t>
  </si>
  <si>
    <t>陳禹廷</t>
  </si>
  <si>
    <t>歐東泰</t>
  </si>
  <si>
    <t>齊悅翔</t>
  </si>
  <si>
    <t>陳幸靜</t>
  </si>
  <si>
    <t>唐子超</t>
  </si>
  <si>
    <t>代課教師</t>
  </si>
  <si>
    <t>邱智琪</t>
  </si>
  <si>
    <t>呂哲瑜</t>
  </si>
  <si>
    <t>兼課教師</t>
  </si>
  <si>
    <t>朱明黛</t>
  </si>
  <si>
    <t>製表人</t>
    <phoneticPr fontId="4" type="noConversion"/>
  </si>
  <si>
    <t>教學組長</t>
    <phoneticPr fontId="4" type="noConversion"/>
  </si>
  <si>
    <t>出納組長</t>
    <phoneticPr fontId="4" type="noConversion"/>
  </si>
  <si>
    <t>人事主任</t>
    <phoneticPr fontId="4" type="noConversion"/>
  </si>
  <si>
    <t>校長</t>
    <phoneticPr fontId="4" type="noConversion"/>
  </si>
  <si>
    <t>教務主任</t>
    <phoneticPr fontId="4" type="noConversion"/>
  </si>
  <si>
    <t>總務主任</t>
    <phoneticPr fontId="4" type="noConversion"/>
  </si>
  <si>
    <t>會計主任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</si>
</sst>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m&quot;月&quot;d&quot;日&quot;"/>
    <numFmt numFmtId="177" formatCode="m/d;@"/>
    <numFmt numFmtId="178" formatCode="#,##0_ "/>
  </numFmts>
  <fonts count="18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24"/>
      <name val="標楷體"/>
      <family val="4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24"/>
      <name val="新細明體"/>
      <family val="1"/>
      <charset val="136"/>
    </font>
    <font>
      <sz val="22"/>
      <name val="新細明體"/>
      <family val="1"/>
      <charset val="136"/>
    </font>
    <font>
      <sz val="20"/>
      <name val="新細明體"/>
      <family val="1"/>
      <charset val="136"/>
    </font>
    <font>
      <sz val="20"/>
      <name val="標楷體"/>
      <family val="4"/>
      <charset val="136"/>
    </font>
    <font>
      <sz val="22"/>
      <name val="標楷體"/>
      <family val="4"/>
      <charset val="136"/>
    </font>
    <font>
      <sz val="22"/>
      <color theme="1"/>
      <name val="標楷體"/>
      <family val="4"/>
      <charset val="136"/>
    </font>
    <font>
      <sz val="22"/>
      <color rgb="FF000000"/>
      <name val="標楷體"/>
      <family val="4"/>
      <charset val="136"/>
    </font>
    <font>
      <sz val="28"/>
      <color theme="1"/>
      <name val="標楷體"/>
      <family val="4"/>
      <charset val="136"/>
    </font>
    <font>
      <sz val="26"/>
      <name val="標楷體"/>
      <family val="4"/>
      <charset val="136"/>
    </font>
    <font>
      <sz val="28"/>
      <color rgb="FF000000"/>
      <name val="標楷體"/>
      <family val="4"/>
      <charset val="136"/>
    </font>
    <font>
      <sz val="28"/>
      <name val="標楷體"/>
      <family val="4"/>
      <charset val="136"/>
    </font>
    <font>
      <sz val="26"/>
      <color rgb="FF000000"/>
      <name val="標楷體"/>
      <family val="4"/>
      <charset val="136"/>
    </font>
    <font>
      <sz val="26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56">
    <xf numFmtId="0" fontId="0" fillId="0" borderId="0" xfId="0"/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1" applyFont="1" applyFill="1">
      <alignment vertical="center"/>
    </xf>
    <xf numFmtId="0" fontId="9" fillId="0" borderId="2" xfId="0" applyFont="1" applyBorder="1" applyAlignment="1">
      <alignment vertical="center"/>
    </xf>
    <xf numFmtId="0" fontId="2" fillId="0" borderId="3" xfId="1" applyFont="1" applyFill="1" applyBorder="1" applyAlignment="1">
      <alignment horizontal="center" vertical="center"/>
    </xf>
    <xf numFmtId="176" fontId="9" fillId="0" borderId="3" xfId="1" applyNumberFormat="1" applyFont="1" applyFill="1" applyBorder="1" applyAlignment="1">
      <alignment horizontal="center" vertical="center"/>
    </xf>
    <xf numFmtId="176" fontId="10" fillId="0" borderId="3" xfId="0" applyNumberFormat="1" applyFont="1" applyFill="1" applyBorder="1" applyAlignment="1">
      <alignment horizontal="center" vertical="center"/>
    </xf>
    <xf numFmtId="177" fontId="9" fillId="2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4" xfId="0" applyFont="1" applyBorder="1" applyAlignment="1">
      <alignment vertical="center"/>
    </xf>
    <xf numFmtId="0" fontId="2" fillId="0" borderId="2" xfId="1" applyFont="1" applyFill="1" applyBorder="1" applyAlignment="1">
      <alignment horizontal="center" vertical="center"/>
    </xf>
    <xf numFmtId="0" fontId="9" fillId="0" borderId="3" xfId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11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78" fontId="13" fillId="0" borderId="3" xfId="0" applyNumberFormat="1" applyFont="1" applyBorder="1" applyAlignment="1">
      <alignment horizontal="center" vertical="center"/>
    </xf>
    <xf numFmtId="178" fontId="13" fillId="0" borderId="3" xfId="0" applyNumberFormat="1" applyFont="1" applyBorder="1" applyAlignment="1">
      <alignment vertical="center"/>
    </xf>
    <xf numFmtId="0" fontId="13" fillId="0" borderId="0" xfId="0" applyFont="1"/>
    <xf numFmtId="0" fontId="10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178" fontId="13" fillId="2" borderId="3" xfId="0" applyNumberFormat="1" applyFont="1" applyFill="1" applyBorder="1" applyAlignment="1">
      <alignment horizontal="center" vertical="center" wrapText="1"/>
    </xf>
    <xf numFmtId="0" fontId="13" fillId="2" borderId="0" xfId="0" applyFont="1" applyFill="1"/>
    <xf numFmtId="0" fontId="15" fillId="0" borderId="3" xfId="0" applyFont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178" fontId="13" fillId="0" borderId="0" xfId="0" applyNumberFormat="1" applyFont="1" applyBorder="1" applyAlignment="1">
      <alignment horizontal="center" vertical="center"/>
    </xf>
    <xf numFmtId="178" fontId="13" fillId="0" borderId="0" xfId="0" applyNumberFormat="1" applyFont="1" applyBorder="1" applyAlignment="1">
      <alignment vertical="center"/>
    </xf>
    <xf numFmtId="0" fontId="8" fillId="0" borderId="0" xfId="0" applyFont="1"/>
    <xf numFmtId="0" fontId="2" fillId="0" borderId="0" xfId="0" applyFont="1" applyAlignment="1">
      <alignment horizontal="center" vertical="top"/>
    </xf>
    <xf numFmtId="0" fontId="17" fillId="2" borderId="0" xfId="0" applyFont="1" applyFill="1" applyBorder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13" fillId="0" borderId="0" xfId="0" applyFont="1" applyFill="1" applyBorder="1" applyAlignment="1">
      <alignment horizontal="center" vertical="top"/>
    </xf>
    <xf numFmtId="178" fontId="8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/>
    </xf>
    <xf numFmtId="0" fontId="13" fillId="2" borderId="0" xfId="0" applyFont="1" applyFill="1" applyBorder="1" applyAlignment="1">
      <alignment horizontal="center" vertical="top"/>
    </xf>
    <xf numFmtId="49" fontId="13" fillId="0" borderId="0" xfId="0" applyNumberFormat="1" applyFont="1" applyAlignment="1">
      <alignment horizontal="center" vertical="top"/>
    </xf>
    <xf numFmtId="0" fontId="8" fillId="0" borderId="0" xfId="0" applyFont="1" applyFill="1" applyBorder="1" applyAlignment="1">
      <alignment horizontal="center" vertical="top"/>
    </xf>
    <xf numFmtId="0" fontId="8" fillId="0" borderId="0" xfId="0" applyFont="1" applyAlignment="1">
      <alignment horizontal="center" vertical="center"/>
    </xf>
    <xf numFmtId="0" fontId="2" fillId="0" borderId="0" xfId="0" applyFont="1"/>
  </cellXfs>
  <cellStyles count="2">
    <cellStyle name="一般" xfId="0" builtinId="0"/>
    <cellStyle name="一般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M41"/>
  <sheetViews>
    <sheetView tabSelected="1" zoomScale="50" zoomScaleNormal="50" workbookViewId="0">
      <selection activeCell="P16" sqref="P16"/>
    </sheetView>
  </sheetViews>
  <sheetFormatPr defaultColWidth="23.5703125" defaultRowHeight="32.25" x14ac:dyDescent="0.45"/>
  <cols>
    <col min="1" max="1" width="23.5703125" style="42" customWidth="1"/>
    <col min="2" max="2" width="23.5703125" style="55" customWidth="1"/>
    <col min="3" max="16" width="23.5703125" style="42" customWidth="1"/>
    <col min="17" max="18" width="23.5703125" style="50" customWidth="1"/>
    <col min="19" max="19" width="35.5703125" style="50" customWidth="1"/>
    <col min="20" max="20" width="19" style="42" customWidth="1"/>
    <col min="21" max="256" width="23.5703125" style="42"/>
    <col min="257" max="274" width="23.5703125" style="42" customWidth="1"/>
    <col min="275" max="275" width="35.5703125" style="42" customWidth="1"/>
    <col min="276" max="276" width="19" style="42" customWidth="1"/>
    <col min="277" max="512" width="23.5703125" style="42"/>
    <col min="513" max="530" width="23.5703125" style="42" customWidth="1"/>
    <col min="531" max="531" width="35.5703125" style="42" customWidth="1"/>
    <col min="532" max="532" width="19" style="42" customWidth="1"/>
    <col min="533" max="768" width="23.5703125" style="42"/>
    <col min="769" max="786" width="23.5703125" style="42" customWidth="1"/>
    <col min="787" max="787" width="35.5703125" style="42" customWidth="1"/>
    <col min="788" max="788" width="19" style="42" customWidth="1"/>
    <col min="789" max="1024" width="23.5703125" style="42"/>
    <col min="1025" max="1042" width="23.5703125" style="42" customWidth="1"/>
    <col min="1043" max="1043" width="35.5703125" style="42" customWidth="1"/>
    <col min="1044" max="1044" width="19" style="42" customWidth="1"/>
    <col min="1045" max="1280" width="23.5703125" style="42"/>
    <col min="1281" max="1298" width="23.5703125" style="42" customWidth="1"/>
    <col min="1299" max="1299" width="35.5703125" style="42" customWidth="1"/>
    <col min="1300" max="1300" width="19" style="42" customWidth="1"/>
    <col min="1301" max="1536" width="23.5703125" style="42"/>
    <col min="1537" max="1554" width="23.5703125" style="42" customWidth="1"/>
    <col min="1555" max="1555" width="35.5703125" style="42" customWidth="1"/>
    <col min="1556" max="1556" width="19" style="42" customWidth="1"/>
    <col min="1557" max="1792" width="23.5703125" style="42"/>
    <col min="1793" max="1810" width="23.5703125" style="42" customWidth="1"/>
    <col min="1811" max="1811" width="35.5703125" style="42" customWidth="1"/>
    <col min="1812" max="1812" width="19" style="42" customWidth="1"/>
    <col min="1813" max="2048" width="23.5703125" style="42"/>
    <col min="2049" max="2066" width="23.5703125" style="42" customWidth="1"/>
    <col min="2067" max="2067" width="35.5703125" style="42" customWidth="1"/>
    <col min="2068" max="2068" width="19" style="42" customWidth="1"/>
    <col min="2069" max="2304" width="23.5703125" style="42"/>
    <col min="2305" max="2322" width="23.5703125" style="42" customWidth="1"/>
    <col min="2323" max="2323" width="35.5703125" style="42" customWidth="1"/>
    <col min="2324" max="2324" width="19" style="42" customWidth="1"/>
    <col min="2325" max="2560" width="23.5703125" style="42"/>
    <col min="2561" max="2578" width="23.5703125" style="42" customWidth="1"/>
    <col min="2579" max="2579" width="35.5703125" style="42" customWidth="1"/>
    <col min="2580" max="2580" width="19" style="42" customWidth="1"/>
    <col min="2581" max="2816" width="23.5703125" style="42"/>
    <col min="2817" max="2834" width="23.5703125" style="42" customWidth="1"/>
    <col min="2835" max="2835" width="35.5703125" style="42" customWidth="1"/>
    <col min="2836" max="2836" width="19" style="42" customWidth="1"/>
    <col min="2837" max="3072" width="23.5703125" style="42"/>
    <col min="3073" max="3090" width="23.5703125" style="42" customWidth="1"/>
    <col min="3091" max="3091" width="35.5703125" style="42" customWidth="1"/>
    <col min="3092" max="3092" width="19" style="42" customWidth="1"/>
    <col min="3093" max="3328" width="23.5703125" style="42"/>
    <col min="3329" max="3346" width="23.5703125" style="42" customWidth="1"/>
    <col min="3347" max="3347" width="35.5703125" style="42" customWidth="1"/>
    <col min="3348" max="3348" width="19" style="42" customWidth="1"/>
    <col min="3349" max="3584" width="23.5703125" style="42"/>
    <col min="3585" max="3602" width="23.5703125" style="42" customWidth="1"/>
    <col min="3603" max="3603" width="35.5703125" style="42" customWidth="1"/>
    <col min="3604" max="3604" width="19" style="42" customWidth="1"/>
    <col min="3605" max="3840" width="23.5703125" style="42"/>
    <col min="3841" max="3858" width="23.5703125" style="42" customWidth="1"/>
    <col min="3859" max="3859" width="35.5703125" style="42" customWidth="1"/>
    <col min="3860" max="3860" width="19" style="42" customWidth="1"/>
    <col min="3861" max="4096" width="23.5703125" style="42"/>
    <col min="4097" max="4114" width="23.5703125" style="42" customWidth="1"/>
    <col min="4115" max="4115" width="35.5703125" style="42" customWidth="1"/>
    <col min="4116" max="4116" width="19" style="42" customWidth="1"/>
    <col min="4117" max="4352" width="23.5703125" style="42"/>
    <col min="4353" max="4370" width="23.5703125" style="42" customWidth="1"/>
    <col min="4371" max="4371" width="35.5703125" style="42" customWidth="1"/>
    <col min="4372" max="4372" width="19" style="42" customWidth="1"/>
    <col min="4373" max="4608" width="23.5703125" style="42"/>
    <col min="4609" max="4626" width="23.5703125" style="42" customWidth="1"/>
    <col min="4627" max="4627" width="35.5703125" style="42" customWidth="1"/>
    <col min="4628" max="4628" width="19" style="42" customWidth="1"/>
    <col min="4629" max="4864" width="23.5703125" style="42"/>
    <col min="4865" max="4882" width="23.5703125" style="42" customWidth="1"/>
    <col min="4883" max="4883" width="35.5703125" style="42" customWidth="1"/>
    <col min="4884" max="4884" width="19" style="42" customWidth="1"/>
    <col min="4885" max="5120" width="23.5703125" style="42"/>
    <col min="5121" max="5138" width="23.5703125" style="42" customWidth="1"/>
    <col min="5139" max="5139" width="35.5703125" style="42" customWidth="1"/>
    <col min="5140" max="5140" width="19" style="42" customWidth="1"/>
    <col min="5141" max="5376" width="23.5703125" style="42"/>
    <col min="5377" max="5394" width="23.5703125" style="42" customWidth="1"/>
    <col min="5395" max="5395" width="35.5703125" style="42" customWidth="1"/>
    <col min="5396" max="5396" width="19" style="42" customWidth="1"/>
    <col min="5397" max="5632" width="23.5703125" style="42"/>
    <col min="5633" max="5650" width="23.5703125" style="42" customWidth="1"/>
    <col min="5651" max="5651" width="35.5703125" style="42" customWidth="1"/>
    <col min="5652" max="5652" width="19" style="42" customWidth="1"/>
    <col min="5653" max="5888" width="23.5703125" style="42"/>
    <col min="5889" max="5906" width="23.5703125" style="42" customWidth="1"/>
    <col min="5907" max="5907" width="35.5703125" style="42" customWidth="1"/>
    <col min="5908" max="5908" width="19" style="42" customWidth="1"/>
    <col min="5909" max="6144" width="23.5703125" style="42"/>
    <col min="6145" max="6162" width="23.5703125" style="42" customWidth="1"/>
    <col min="6163" max="6163" width="35.5703125" style="42" customWidth="1"/>
    <col min="6164" max="6164" width="19" style="42" customWidth="1"/>
    <col min="6165" max="6400" width="23.5703125" style="42"/>
    <col min="6401" max="6418" width="23.5703125" style="42" customWidth="1"/>
    <col min="6419" max="6419" width="35.5703125" style="42" customWidth="1"/>
    <col min="6420" max="6420" width="19" style="42" customWidth="1"/>
    <col min="6421" max="6656" width="23.5703125" style="42"/>
    <col min="6657" max="6674" width="23.5703125" style="42" customWidth="1"/>
    <col min="6675" max="6675" width="35.5703125" style="42" customWidth="1"/>
    <col min="6676" max="6676" width="19" style="42" customWidth="1"/>
    <col min="6677" max="6912" width="23.5703125" style="42"/>
    <col min="6913" max="6930" width="23.5703125" style="42" customWidth="1"/>
    <col min="6931" max="6931" width="35.5703125" style="42" customWidth="1"/>
    <col min="6932" max="6932" width="19" style="42" customWidth="1"/>
    <col min="6933" max="7168" width="23.5703125" style="42"/>
    <col min="7169" max="7186" width="23.5703125" style="42" customWidth="1"/>
    <col min="7187" max="7187" width="35.5703125" style="42" customWidth="1"/>
    <col min="7188" max="7188" width="19" style="42" customWidth="1"/>
    <col min="7189" max="7424" width="23.5703125" style="42"/>
    <col min="7425" max="7442" width="23.5703125" style="42" customWidth="1"/>
    <col min="7443" max="7443" width="35.5703125" style="42" customWidth="1"/>
    <col min="7444" max="7444" width="19" style="42" customWidth="1"/>
    <col min="7445" max="7680" width="23.5703125" style="42"/>
    <col min="7681" max="7698" width="23.5703125" style="42" customWidth="1"/>
    <col min="7699" max="7699" width="35.5703125" style="42" customWidth="1"/>
    <col min="7700" max="7700" width="19" style="42" customWidth="1"/>
    <col min="7701" max="7936" width="23.5703125" style="42"/>
    <col min="7937" max="7954" width="23.5703125" style="42" customWidth="1"/>
    <col min="7955" max="7955" width="35.5703125" style="42" customWidth="1"/>
    <col min="7956" max="7956" width="19" style="42" customWidth="1"/>
    <col min="7957" max="8192" width="23.5703125" style="42"/>
    <col min="8193" max="8210" width="23.5703125" style="42" customWidth="1"/>
    <col min="8211" max="8211" width="35.5703125" style="42" customWidth="1"/>
    <col min="8212" max="8212" width="19" style="42" customWidth="1"/>
    <col min="8213" max="8448" width="23.5703125" style="42"/>
    <col min="8449" max="8466" width="23.5703125" style="42" customWidth="1"/>
    <col min="8467" max="8467" width="35.5703125" style="42" customWidth="1"/>
    <col min="8468" max="8468" width="19" style="42" customWidth="1"/>
    <col min="8469" max="8704" width="23.5703125" style="42"/>
    <col min="8705" max="8722" width="23.5703125" style="42" customWidth="1"/>
    <col min="8723" max="8723" width="35.5703125" style="42" customWidth="1"/>
    <col min="8724" max="8724" width="19" style="42" customWidth="1"/>
    <col min="8725" max="8960" width="23.5703125" style="42"/>
    <col min="8961" max="8978" width="23.5703125" style="42" customWidth="1"/>
    <col min="8979" max="8979" width="35.5703125" style="42" customWidth="1"/>
    <col min="8980" max="8980" width="19" style="42" customWidth="1"/>
    <col min="8981" max="9216" width="23.5703125" style="42"/>
    <col min="9217" max="9234" width="23.5703125" style="42" customWidth="1"/>
    <col min="9235" max="9235" width="35.5703125" style="42" customWidth="1"/>
    <col min="9236" max="9236" width="19" style="42" customWidth="1"/>
    <col min="9237" max="9472" width="23.5703125" style="42"/>
    <col min="9473" max="9490" width="23.5703125" style="42" customWidth="1"/>
    <col min="9491" max="9491" width="35.5703125" style="42" customWidth="1"/>
    <col min="9492" max="9492" width="19" style="42" customWidth="1"/>
    <col min="9493" max="9728" width="23.5703125" style="42"/>
    <col min="9729" max="9746" width="23.5703125" style="42" customWidth="1"/>
    <col min="9747" max="9747" width="35.5703125" style="42" customWidth="1"/>
    <col min="9748" max="9748" width="19" style="42" customWidth="1"/>
    <col min="9749" max="9984" width="23.5703125" style="42"/>
    <col min="9985" max="10002" width="23.5703125" style="42" customWidth="1"/>
    <col min="10003" max="10003" width="35.5703125" style="42" customWidth="1"/>
    <col min="10004" max="10004" width="19" style="42" customWidth="1"/>
    <col min="10005" max="10240" width="23.5703125" style="42"/>
    <col min="10241" max="10258" width="23.5703125" style="42" customWidth="1"/>
    <col min="10259" max="10259" width="35.5703125" style="42" customWidth="1"/>
    <col min="10260" max="10260" width="19" style="42" customWidth="1"/>
    <col min="10261" max="10496" width="23.5703125" style="42"/>
    <col min="10497" max="10514" width="23.5703125" style="42" customWidth="1"/>
    <col min="10515" max="10515" width="35.5703125" style="42" customWidth="1"/>
    <col min="10516" max="10516" width="19" style="42" customWidth="1"/>
    <col min="10517" max="10752" width="23.5703125" style="42"/>
    <col min="10753" max="10770" width="23.5703125" style="42" customWidth="1"/>
    <col min="10771" max="10771" width="35.5703125" style="42" customWidth="1"/>
    <col min="10772" max="10772" width="19" style="42" customWidth="1"/>
    <col min="10773" max="11008" width="23.5703125" style="42"/>
    <col min="11009" max="11026" width="23.5703125" style="42" customWidth="1"/>
    <col min="11027" max="11027" width="35.5703125" style="42" customWidth="1"/>
    <col min="11028" max="11028" width="19" style="42" customWidth="1"/>
    <col min="11029" max="11264" width="23.5703125" style="42"/>
    <col min="11265" max="11282" width="23.5703125" style="42" customWidth="1"/>
    <col min="11283" max="11283" width="35.5703125" style="42" customWidth="1"/>
    <col min="11284" max="11284" width="19" style="42" customWidth="1"/>
    <col min="11285" max="11520" width="23.5703125" style="42"/>
    <col min="11521" max="11538" width="23.5703125" style="42" customWidth="1"/>
    <col min="11539" max="11539" width="35.5703125" style="42" customWidth="1"/>
    <col min="11540" max="11540" width="19" style="42" customWidth="1"/>
    <col min="11541" max="11776" width="23.5703125" style="42"/>
    <col min="11777" max="11794" width="23.5703125" style="42" customWidth="1"/>
    <col min="11795" max="11795" width="35.5703125" style="42" customWidth="1"/>
    <col min="11796" max="11796" width="19" style="42" customWidth="1"/>
    <col min="11797" max="12032" width="23.5703125" style="42"/>
    <col min="12033" max="12050" width="23.5703125" style="42" customWidth="1"/>
    <col min="12051" max="12051" width="35.5703125" style="42" customWidth="1"/>
    <col min="12052" max="12052" width="19" style="42" customWidth="1"/>
    <col min="12053" max="12288" width="23.5703125" style="42"/>
    <col min="12289" max="12306" width="23.5703125" style="42" customWidth="1"/>
    <col min="12307" max="12307" width="35.5703125" style="42" customWidth="1"/>
    <col min="12308" max="12308" width="19" style="42" customWidth="1"/>
    <col min="12309" max="12544" width="23.5703125" style="42"/>
    <col min="12545" max="12562" width="23.5703125" style="42" customWidth="1"/>
    <col min="12563" max="12563" width="35.5703125" style="42" customWidth="1"/>
    <col min="12564" max="12564" width="19" style="42" customWidth="1"/>
    <col min="12565" max="12800" width="23.5703125" style="42"/>
    <col min="12801" max="12818" width="23.5703125" style="42" customWidth="1"/>
    <col min="12819" max="12819" width="35.5703125" style="42" customWidth="1"/>
    <col min="12820" max="12820" width="19" style="42" customWidth="1"/>
    <col min="12821" max="13056" width="23.5703125" style="42"/>
    <col min="13057" max="13074" width="23.5703125" style="42" customWidth="1"/>
    <col min="13075" max="13075" width="35.5703125" style="42" customWidth="1"/>
    <col min="13076" max="13076" width="19" style="42" customWidth="1"/>
    <col min="13077" max="13312" width="23.5703125" style="42"/>
    <col min="13313" max="13330" width="23.5703125" style="42" customWidth="1"/>
    <col min="13331" max="13331" width="35.5703125" style="42" customWidth="1"/>
    <col min="13332" max="13332" width="19" style="42" customWidth="1"/>
    <col min="13333" max="13568" width="23.5703125" style="42"/>
    <col min="13569" max="13586" width="23.5703125" style="42" customWidth="1"/>
    <col min="13587" max="13587" width="35.5703125" style="42" customWidth="1"/>
    <col min="13588" max="13588" width="19" style="42" customWidth="1"/>
    <col min="13589" max="13824" width="23.5703125" style="42"/>
    <col min="13825" max="13842" width="23.5703125" style="42" customWidth="1"/>
    <col min="13843" max="13843" width="35.5703125" style="42" customWidth="1"/>
    <col min="13844" max="13844" width="19" style="42" customWidth="1"/>
    <col min="13845" max="14080" width="23.5703125" style="42"/>
    <col min="14081" max="14098" width="23.5703125" style="42" customWidth="1"/>
    <col min="14099" max="14099" width="35.5703125" style="42" customWidth="1"/>
    <col min="14100" max="14100" width="19" style="42" customWidth="1"/>
    <col min="14101" max="14336" width="23.5703125" style="42"/>
    <col min="14337" max="14354" width="23.5703125" style="42" customWidth="1"/>
    <col min="14355" max="14355" width="35.5703125" style="42" customWidth="1"/>
    <col min="14356" max="14356" width="19" style="42" customWidth="1"/>
    <col min="14357" max="14592" width="23.5703125" style="42"/>
    <col min="14593" max="14610" width="23.5703125" style="42" customWidth="1"/>
    <col min="14611" max="14611" width="35.5703125" style="42" customWidth="1"/>
    <col min="14612" max="14612" width="19" style="42" customWidth="1"/>
    <col min="14613" max="14848" width="23.5703125" style="42"/>
    <col min="14849" max="14866" width="23.5703125" style="42" customWidth="1"/>
    <col min="14867" max="14867" width="35.5703125" style="42" customWidth="1"/>
    <col min="14868" max="14868" width="19" style="42" customWidth="1"/>
    <col min="14869" max="15104" width="23.5703125" style="42"/>
    <col min="15105" max="15122" width="23.5703125" style="42" customWidth="1"/>
    <col min="15123" max="15123" width="35.5703125" style="42" customWidth="1"/>
    <col min="15124" max="15124" width="19" style="42" customWidth="1"/>
    <col min="15125" max="15360" width="23.5703125" style="42"/>
    <col min="15361" max="15378" width="23.5703125" style="42" customWidth="1"/>
    <col min="15379" max="15379" width="35.5703125" style="42" customWidth="1"/>
    <col min="15380" max="15380" width="19" style="42" customWidth="1"/>
    <col min="15381" max="15616" width="23.5703125" style="42"/>
    <col min="15617" max="15634" width="23.5703125" style="42" customWidth="1"/>
    <col min="15635" max="15635" width="35.5703125" style="42" customWidth="1"/>
    <col min="15636" max="15636" width="19" style="42" customWidth="1"/>
    <col min="15637" max="15872" width="23.5703125" style="42"/>
    <col min="15873" max="15890" width="23.5703125" style="42" customWidth="1"/>
    <col min="15891" max="15891" width="35.5703125" style="42" customWidth="1"/>
    <col min="15892" max="15892" width="19" style="42" customWidth="1"/>
    <col min="15893" max="16128" width="23.5703125" style="42"/>
    <col min="16129" max="16146" width="23.5703125" style="42" customWidth="1"/>
    <col min="16147" max="16147" width="35.5703125" style="42" customWidth="1"/>
    <col min="16148" max="16148" width="19" style="42" customWidth="1"/>
    <col min="16149" max="16384" width="23.5703125" style="42"/>
  </cols>
  <sheetData>
    <row r="1" spans="1:20" s="6" customForma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5"/>
    </row>
    <row r="2" spans="1:20" s="12" customFormat="1" x14ac:dyDescent="0.45">
      <c r="A2" s="7"/>
      <c r="B2" s="8" t="s">
        <v>1</v>
      </c>
      <c r="C2" s="9">
        <v>46174</v>
      </c>
      <c r="D2" s="9">
        <v>46175</v>
      </c>
      <c r="E2" s="9">
        <v>46176</v>
      </c>
      <c r="F2" s="9">
        <v>46177</v>
      </c>
      <c r="G2" s="9">
        <v>46178</v>
      </c>
      <c r="H2" s="10">
        <v>46181</v>
      </c>
      <c r="I2" s="10">
        <v>46182</v>
      </c>
      <c r="J2" s="10">
        <v>46183</v>
      </c>
      <c r="K2" s="10">
        <v>46184</v>
      </c>
      <c r="L2" s="10">
        <v>46185</v>
      </c>
      <c r="M2" s="10">
        <v>46188</v>
      </c>
      <c r="N2" s="10">
        <v>46189</v>
      </c>
      <c r="O2" s="10">
        <v>46190</v>
      </c>
      <c r="P2" s="10">
        <v>46191</v>
      </c>
      <c r="Q2" s="9" t="s">
        <v>2</v>
      </c>
      <c r="R2" s="11" t="s">
        <v>3</v>
      </c>
      <c r="S2" s="11" t="s">
        <v>4</v>
      </c>
      <c r="T2" s="11" t="s">
        <v>5</v>
      </c>
    </row>
    <row r="3" spans="1:20" s="12" customFormat="1" x14ac:dyDescent="0.45">
      <c r="A3" s="13" t="s">
        <v>6</v>
      </c>
      <c r="B3" s="14" t="s">
        <v>7</v>
      </c>
      <c r="C3" s="15" t="s">
        <v>8</v>
      </c>
      <c r="D3" s="16" t="s">
        <v>9</v>
      </c>
      <c r="E3" s="16" t="s">
        <v>10</v>
      </c>
      <c r="F3" s="16" t="s">
        <v>11</v>
      </c>
      <c r="G3" s="16" t="s">
        <v>12</v>
      </c>
      <c r="H3" s="16" t="s">
        <v>13</v>
      </c>
      <c r="I3" s="16" t="s">
        <v>9</v>
      </c>
      <c r="J3" s="16" t="s">
        <v>10</v>
      </c>
      <c r="K3" s="16" t="s">
        <v>11</v>
      </c>
      <c r="L3" s="16" t="s">
        <v>12</v>
      </c>
      <c r="M3" s="16" t="s">
        <v>14</v>
      </c>
      <c r="N3" s="16" t="s">
        <v>9</v>
      </c>
      <c r="O3" s="16" t="s">
        <v>10</v>
      </c>
      <c r="P3" s="16" t="s">
        <v>11</v>
      </c>
      <c r="Q3" s="17"/>
      <c r="R3" s="17"/>
      <c r="S3" s="17"/>
      <c r="T3" s="18"/>
    </row>
    <row r="4" spans="1:20" s="24" customFormat="1" ht="38.25" x14ac:dyDescent="0.55000000000000004">
      <c r="A4" s="19" t="s">
        <v>15</v>
      </c>
      <c r="B4" s="20" t="s">
        <v>16</v>
      </c>
      <c r="C4" s="21">
        <v>0</v>
      </c>
      <c r="D4" s="21">
        <v>1</v>
      </c>
      <c r="E4" s="21">
        <v>0</v>
      </c>
      <c r="F4" s="21">
        <v>0</v>
      </c>
      <c r="G4" s="21">
        <v>0</v>
      </c>
      <c r="H4" s="21">
        <v>0</v>
      </c>
      <c r="I4" s="21">
        <v>1</v>
      </c>
      <c r="J4" s="21">
        <v>0</v>
      </c>
      <c r="K4" s="21">
        <v>0</v>
      </c>
      <c r="L4" s="21">
        <v>0</v>
      </c>
      <c r="M4" s="21">
        <v>0</v>
      </c>
      <c r="N4" s="21">
        <v>1</v>
      </c>
      <c r="O4" s="21">
        <v>0</v>
      </c>
      <c r="P4" s="21">
        <v>0</v>
      </c>
      <c r="Q4" s="22">
        <f>SUM(C4:P4)</f>
        <v>3</v>
      </c>
      <c r="R4" s="22">
        <v>500</v>
      </c>
      <c r="S4" s="22">
        <f>Q4*R4</f>
        <v>1500</v>
      </c>
      <c r="T4" s="23"/>
    </row>
    <row r="5" spans="1:20" s="24" customFormat="1" ht="38.25" x14ac:dyDescent="0.55000000000000004">
      <c r="A5" s="25" t="s">
        <v>17</v>
      </c>
      <c r="B5" s="26" t="s">
        <v>18</v>
      </c>
      <c r="C5" s="21">
        <v>0</v>
      </c>
      <c r="D5" s="21">
        <v>0</v>
      </c>
      <c r="E5" s="21">
        <v>1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1</v>
      </c>
      <c r="P5" s="21">
        <v>0</v>
      </c>
      <c r="Q5" s="22">
        <f>SUM(C5:P5)</f>
        <v>2</v>
      </c>
      <c r="R5" s="22">
        <v>500</v>
      </c>
      <c r="S5" s="22">
        <f>Q5*R5</f>
        <v>1000</v>
      </c>
      <c r="T5" s="23"/>
    </row>
    <row r="6" spans="1:20" s="24" customFormat="1" ht="38.25" x14ac:dyDescent="0.55000000000000004">
      <c r="A6" s="19" t="s">
        <v>19</v>
      </c>
      <c r="B6" s="27" t="s">
        <v>20</v>
      </c>
      <c r="C6" s="21">
        <v>0</v>
      </c>
      <c r="D6" s="21">
        <v>0</v>
      </c>
      <c r="E6" s="21">
        <v>0</v>
      </c>
      <c r="F6" s="21">
        <v>1</v>
      </c>
      <c r="G6" s="21">
        <v>1</v>
      </c>
      <c r="H6" s="21">
        <v>0</v>
      </c>
      <c r="I6" s="21">
        <v>0</v>
      </c>
      <c r="J6" s="21">
        <v>0</v>
      </c>
      <c r="K6" s="21">
        <v>1</v>
      </c>
      <c r="L6" s="21">
        <v>1</v>
      </c>
      <c r="M6" s="21">
        <v>0</v>
      </c>
      <c r="N6" s="21">
        <v>0</v>
      </c>
      <c r="O6" s="21">
        <v>0</v>
      </c>
      <c r="P6" s="21">
        <v>1</v>
      </c>
      <c r="Q6" s="22">
        <f>SUM(C6:P6)</f>
        <v>5</v>
      </c>
      <c r="R6" s="22">
        <v>500</v>
      </c>
      <c r="S6" s="22">
        <f>Q6*R6</f>
        <v>2500</v>
      </c>
      <c r="T6" s="23"/>
    </row>
    <row r="7" spans="1:20" s="24" customFormat="1" ht="38.25" x14ac:dyDescent="0.55000000000000004">
      <c r="A7" s="19" t="s">
        <v>21</v>
      </c>
      <c r="B7" s="20" t="s">
        <v>22</v>
      </c>
      <c r="C7" s="21">
        <v>1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1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2">
        <f t="shared" ref="Q7:Q33" si="0">SUM(C7:P7)</f>
        <v>2</v>
      </c>
      <c r="R7" s="22">
        <v>500</v>
      </c>
      <c r="S7" s="22">
        <f t="shared" ref="S7:S33" si="1">Q7*R7</f>
        <v>1000</v>
      </c>
      <c r="T7" s="23"/>
    </row>
    <row r="8" spans="1:20" s="30" customFormat="1" ht="38.25" x14ac:dyDescent="0.55000000000000004">
      <c r="A8" s="19" t="s">
        <v>23</v>
      </c>
      <c r="B8" s="20" t="s">
        <v>24</v>
      </c>
      <c r="C8" s="28">
        <v>0</v>
      </c>
      <c r="D8" s="28">
        <v>0</v>
      </c>
      <c r="E8" s="21">
        <v>1</v>
      </c>
      <c r="F8" s="28">
        <v>0</v>
      </c>
      <c r="G8" s="28">
        <v>1</v>
      </c>
      <c r="H8" s="28">
        <v>1</v>
      </c>
      <c r="I8" s="28">
        <v>0</v>
      </c>
      <c r="J8" s="28">
        <v>1</v>
      </c>
      <c r="K8" s="28">
        <v>0</v>
      </c>
      <c r="L8" s="28">
        <v>0</v>
      </c>
      <c r="M8" s="28">
        <v>1</v>
      </c>
      <c r="N8" s="28">
        <v>1</v>
      </c>
      <c r="O8" s="28">
        <v>1</v>
      </c>
      <c r="P8" s="28">
        <v>0</v>
      </c>
      <c r="Q8" s="22">
        <f t="shared" si="0"/>
        <v>7</v>
      </c>
      <c r="R8" s="22">
        <v>500</v>
      </c>
      <c r="S8" s="22">
        <f t="shared" si="1"/>
        <v>3500</v>
      </c>
      <c r="T8" s="29" t="s">
        <v>25</v>
      </c>
    </row>
    <row r="9" spans="1:20" s="24" customFormat="1" ht="38.25" x14ac:dyDescent="0.55000000000000004">
      <c r="A9" s="25" t="s">
        <v>26</v>
      </c>
      <c r="B9" s="26" t="s">
        <v>27</v>
      </c>
      <c r="C9" s="21">
        <v>0</v>
      </c>
      <c r="D9" s="21">
        <v>1</v>
      </c>
      <c r="E9" s="21">
        <v>0</v>
      </c>
      <c r="F9" s="21">
        <v>1</v>
      </c>
      <c r="G9" s="21">
        <v>0</v>
      </c>
      <c r="H9" s="21">
        <v>1</v>
      </c>
      <c r="I9" s="21">
        <v>1</v>
      </c>
      <c r="J9" s="21">
        <v>0</v>
      </c>
      <c r="K9" s="21">
        <v>1</v>
      </c>
      <c r="L9" s="21">
        <v>0</v>
      </c>
      <c r="M9" s="21">
        <v>1</v>
      </c>
      <c r="N9" s="21">
        <v>1</v>
      </c>
      <c r="O9" s="21">
        <v>0</v>
      </c>
      <c r="P9" s="21">
        <v>1</v>
      </c>
      <c r="Q9" s="22">
        <f t="shared" si="0"/>
        <v>8</v>
      </c>
      <c r="R9" s="22">
        <v>500</v>
      </c>
      <c r="S9" s="22">
        <f t="shared" si="1"/>
        <v>4000</v>
      </c>
      <c r="T9" s="23"/>
    </row>
    <row r="10" spans="1:20" s="24" customFormat="1" ht="38.25" x14ac:dyDescent="0.55000000000000004">
      <c r="A10" s="19" t="s">
        <v>28</v>
      </c>
      <c r="B10" s="20" t="s">
        <v>29</v>
      </c>
      <c r="C10" s="21">
        <v>0</v>
      </c>
      <c r="D10" s="21">
        <v>1</v>
      </c>
      <c r="E10" s="21">
        <v>0</v>
      </c>
      <c r="F10" s="21">
        <v>0</v>
      </c>
      <c r="G10" s="21">
        <v>0</v>
      </c>
      <c r="H10" s="21">
        <v>1</v>
      </c>
      <c r="I10" s="21">
        <v>1</v>
      </c>
      <c r="J10" s="21">
        <v>0</v>
      </c>
      <c r="K10" s="21">
        <v>0</v>
      </c>
      <c r="L10" s="21">
        <v>0</v>
      </c>
      <c r="M10" s="21">
        <v>0</v>
      </c>
      <c r="N10" s="21">
        <v>1</v>
      </c>
      <c r="O10" s="21">
        <v>1</v>
      </c>
      <c r="P10" s="21">
        <v>0</v>
      </c>
      <c r="Q10" s="22">
        <f t="shared" si="0"/>
        <v>5</v>
      </c>
      <c r="R10" s="22">
        <v>500</v>
      </c>
      <c r="S10" s="22">
        <f t="shared" si="1"/>
        <v>2500</v>
      </c>
      <c r="T10" s="23"/>
    </row>
    <row r="11" spans="1:20" s="24" customFormat="1" ht="38.25" x14ac:dyDescent="0.55000000000000004">
      <c r="A11" s="25" t="s">
        <v>30</v>
      </c>
      <c r="B11" s="20" t="s">
        <v>31</v>
      </c>
      <c r="C11" s="21">
        <v>0</v>
      </c>
      <c r="D11" s="21">
        <v>1</v>
      </c>
      <c r="E11" s="21">
        <v>0</v>
      </c>
      <c r="F11" s="21">
        <v>1</v>
      </c>
      <c r="G11" s="21">
        <v>0</v>
      </c>
      <c r="H11" s="21">
        <v>1</v>
      </c>
      <c r="I11" s="21">
        <v>1</v>
      </c>
      <c r="J11" s="21">
        <v>0</v>
      </c>
      <c r="K11" s="21">
        <v>1</v>
      </c>
      <c r="L11" s="21">
        <v>0</v>
      </c>
      <c r="M11" s="21">
        <v>1</v>
      </c>
      <c r="N11" s="21">
        <v>1</v>
      </c>
      <c r="O11" s="21">
        <v>0</v>
      </c>
      <c r="P11" s="21">
        <v>1</v>
      </c>
      <c r="Q11" s="22">
        <f t="shared" si="0"/>
        <v>8</v>
      </c>
      <c r="R11" s="22">
        <v>500</v>
      </c>
      <c r="S11" s="22">
        <f t="shared" si="1"/>
        <v>4000</v>
      </c>
      <c r="T11" s="23"/>
    </row>
    <row r="12" spans="1:20" s="24" customFormat="1" ht="38.25" x14ac:dyDescent="0.55000000000000004">
      <c r="A12" s="19" t="s">
        <v>32</v>
      </c>
      <c r="B12" s="26" t="s">
        <v>33</v>
      </c>
      <c r="C12" s="21">
        <v>0</v>
      </c>
      <c r="D12" s="21">
        <v>0</v>
      </c>
      <c r="E12" s="21">
        <v>1</v>
      </c>
      <c r="F12" s="21">
        <v>0</v>
      </c>
      <c r="G12" s="21">
        <v>0</v>
      </c>
      <c r="H12" s="21">
        <v>0</v>
      </c>
      <c r="I12" s="21">
        <v>0</v>
      </c>
      <c r="J12" s="21">
        <v>1</v>
      </c>
      <c r="K12" s="21">
        <v>0</v>
      </c>
      <c r="L12" s="21">
        <v>0</v>
      </c>
      <c r="M12" s="21">
        <v>0</v>
      </c>
      <c r="N12" s="21">
        <v>0</v>
      </c>
      <c r="O12" s="21">
        <v>1</v>
      </c>
      <c r="P12" s="21">
        <v>0</v>
      </c>
      <c r="Q12" s="22">
        <f t="shared" si="0"/>
        <v>3</v>
      </c>
      <c r="R12" s="22">
        <v>500</v>
      </c>
      <c r="S12" s="22">
        <f t="shared" si="1"/>
        <v>1500</v>
      </c>
      <c r="T12" s="23"/>
    </row>
    <row r="13" spans="1:20" s="30" customFormat="1" ht="38.25" x14ac:dyDescent="0.55000000000000004">
      <c r="A13" s="19" t="s">
        <v>34</v>
      </c>
      <c r="B13" s="26" t="s">
        <v>35</v>
      </c>
      <c r="C13" s="28">
        <v>0</v>
      </c>
      <c r="D13" s="28">
        <v>0</v>
      </c>
      <c r="E13" s="21">
        <v>1</v>
      </c>
      <c r="F13" s="28">
        <v>0</v>
      </c>
      <c r="G13" s="28">
        <v>0</v>
      </c>
      <c r="H13" s="28">
        <v>1</v>
      </c>
      <c r="I13" s="28">
        <v>0</v>
      </c>
      <c r="J13" s="28">
        <v>1</v>
      </c>
      <c r="K13" s="28">
        <v>0</v>
      </c>
      <c r="L13" s="28">
        <v>0</v>
      </c>
      <c r="M13" s="28">
        <v>1</v>
      </c>
      <c r="N13" s="28">
        <v>0</v>
      </c>
      <c r="O13" s="28">
        <v>1</v>
      </c>
      <c r="P13" s="28">
        <v>0</v>
      </c>
      <c r="Q13" s="22">
        <f t="shared" si="0"/>
        <v>5</v>
      </c>
      <c r="R13" s="22">
        <v>500</v>
      </c>
      <c r="S13" s="22">
        <f t="shared" si="1"/>
        <v>2500</v>
      </c>
      <c r="T13" s="29" t="s">
        <v>25</v>
      </c>
    </row>
    <row r="14" spans="1:20" s="30" customFormat="1" ht="38.25" x14ac:dyDescent="0.55000000000000004">
      <c r="A14" s="19" t="s">
        <v>36</v>
      </c>
      <c r="B14" s="27" t="s">
        <v>37</v>
      </c>
      <c r="C14" s="28">
        <v>1</v>
      </c>
      <c r="D14" s="28">
        <v>0</v>
      </c>
      <c r="E14" s="21">
        <v>0</v>
      </c>
      <c r="F14" s="28">
        <v>0</v>
      </c>
      <c r="G14" s="28">
        <v>1</v>
      </c>
      <c r="H14" s="28">
        <v>1</v>
      </c>
      <c r="I14" s="28">
        <v>0</v>
      </c>
      <c r="J14" s="28">
        <v>0</v>
      </c>
      <c r="K14" s="28">
        <v>0</v>
      </c>
      <c r="L14" s="28">
        <v>1</v>
      </c>
      <c r="M14" s="28">
        <v>1</v>
      </c>
      <c r="N14" s="28">
        <v>1</v>
      </c>
      <c r="O14" s="28">
        <v>0</v>
      </c>
      <c r="P14" s="28">
        <v>0</v>
      </c>
      <c r="Q14" s="22">
        <f t="shared" si="0"/>
        <v>6</v>
      </c>
      <c r="R14" s="22">
        <v>500</v>
      </c>
      <c r="S14" s="22">
        <f t="shared" si="1"/>
        <v>3000</v>
      </c>
      <c r="T14" s="29" t="s">
        <v>25</v>
      </c>
    </row>
    <row r="15" spans="1:20" s="24" customFormat="1" ht="38.25" x14ac:dyDescent="0.55000000000000004">
      <c r="A15" s="19" t="s">
        <v>38</v>
      </c>
      <c r="B15" s="27" t="s">
        <v>39</v>
      </c>
      <c r="C15" s="21">
        <v>0</v>
      </c>
      <c r="D15" s="21">
        <v>0</v>
      </c>
      <c r="E15" s="21">
        <v>0</v>
      </c>
      <c r="F15" s="21">
        <v>1</v>
      </c>
      <c r="G15" s="21">
        <v>0</v>
      </c>
      <c r="H15" s="21">
        <v>0</v>
      </c>
      <c r="I15" s="21">
        <v>0</v>
      </c>
      <c r="J15" s="21">
        <v>0</v>
      </c>
      <c r="K15" s="21">
        <v>1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2">
        <f t="shared" si="0"/>
        <v>2</v>
      </c>
      <c r="R15" s="22">
        <v>500</v>
      </c>
      <c r="S15" s="22">
        <f t="shared" si="1"/>
        <v>1000</v>
      </c>
      <c r="T15" s="23"/>
    </row>
    <row r="16" spans="1:20" s="24" customFormat="1" ht="38.25" x14ac:dyDescent="0.55000000000000004">
      <c r="A16" s="19" t="s">
        <v>40</v>
      </c>
      <c r="B16" s="27" t="s">
        <v>41</v>
      </c>
      <c r="C16" s="21">
        <v>0</v>
      </c>
      <c r="D16" s="21">
        <v>1</v>
      </c>
      <c r="E16" s="21">
        <v>0</v>
      </c>
      <c r="F16" s="21">
        <v>1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1</v>
      </c>
      <c r="N16" s="21">
        <v>1</v>
      </c>
      <c r="O16" s="21">
        <v>0</v>
      </c>
      <c r="P16" s="21">
        <v>1</v>
      </c>
      <c r="Q16" s="22">
        <f t="shared" si="0"/>
        <v>5</v>
      </c>
      <c r="R16" s="22">
        <v>500</v>
      </c>
      <c r="S16" s="22">
        <f t="shared" si="1"/>
        <v>2500</v>
      </c>
      <c r="T16" s="23"/>
    </row>
    <row r="17" spans="1:20" s="24" customFormat="1" ht="38.25" x14ac:dyDescent="0.55000000000000004">
      <c r="A17" s="19" t="s">
        <v>42</v>
      </c>
      <c r="B17" s="27" t="s">
        <v>43</v>
      </c>
      <c r="C17" s="21">
        <v>1</v>
      </c>
      <c r="D17" s="21">
        <v>1</v>
      </c>
      <c r="E17" s="21">
        <v>1</v>
      </c>
      <c r="F17" s="21">
        <v>1</v>
      </c>
      <c r="G17" s="21">
        <v>0</v>
      </c>
      <c r="H17" s="21">
        <v>1</v>
      </c>
      <c r="I17" s="21">
        <v>1</v>
      </c>
      <c r="J17" s="21">
        <v>0</v>
      </c>
      <c r="K17" s="21">
        <v>1</v>
      </c>
      <c r="L17" s="21">
        <v>0</v>
      </c>
      <c r="M17" s="21">
        <v>1</v>
      </c>
      <c r="N17" s="21">
        <v>1</v>
      </c>
      <c r="O17" s="21">
        <v>1</v>
      </c>
      <c r="P17" s="21">
        <v>1</v>
      </c>
      <c r="Q17" s="22">
        <f t="shared" si="0"/>
        <v>11</v>
      </c>
      <c r="R17" s="22">
        <v>500</v>
      </c>
      <c r="S17" s="22">
        <f t="shared" si="1"/>
        <v>5500</v>
      </c>
      <c r="T17" s="23"/>
    </row>
    <row r="18" spans="1:20" s="24" customFormat="1" ht="38.25" x14ac:dyDescent="0.55000000000000004">
      <c r="A18" s="19" t="s">
        <v>44</v>
      </c>
      <c r="B18" s="27" t="s">
        <v>45</v>
      </c>
      <c r="C18" s="21">
        <v>1</v>
      </c>
      <c r="D18" s="21">
        <v>1</v>
      </c>
      <c r="E18" s="21">
        <v>0</v>
      </c>
      <c r="F18" s="21">
        <v>1</v>
      </c>
      <c r="G18" s="21">
        <v>0</v>
      </c>
      <c r="H18" s="21">
        <v>1</v>
      </c>
      <c r="I18" s="21">
        <v>1</v>
      </c>
      <c r="J18" s="21">
        <v>0</v>
      </c>
      <c r="K18" s="21">
        <v>1</v>
      </c>
      <c r="L18" s="21">
        <v>1</v>
      </c>
      <c r="M18" s="21">
        <v>0</v>
      </c>
      <c r="N18" s="21">
        <v>0</v>
      </c>
      <c r="O18" s="21">
        <v>0</v>
      </c>
      <c r="P18" s="21">
        <v>0</v>
      </c>
      <c r="Q18" s="22">
        <f t="shared" si="0"/>
        <v>7</v>
      </c>
      <c r="R18" s="22">
        <v>500</v>
      </c>
      <c r="S18" s="22">
        <f t="shared" si="1"/>
        <v>3500</v>
      </c>
      <c r="T18" s="23"/>
    </row>
    <row r="19" spans="1:20" s="30" customFormat="1" ht="38.25" x14ac:dyDescent="0.55000000000000004">
      <c r="A19" s="19" t="s">
        <v>46</v>
      </c>
      <c r="B19" s="31" t="s">
        <v>47</v>
      </c>
      <c r="C19" s="28">
        <v>0</v>
      </c>
      <c r="D19" s="28">
        <v>0</v>
      </c>
      <c r="E19" s="21">
        <v>0</v>
      </c>
      <c r="F19" s="28">
        <v>0</v>
      </c>
      <c r="G19" s="28">
        <v>0</v>
      </c>
      <c r="H19" s="28">
        <v>0</v>
      </c>
      <c r="I19" s="28">
        <v>1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2">
        <f t="shared" si="0"/>
        <v>1</v>
      </c>
      <c r="R19" s="22">
        <v>500</v>
      </c>
      <c r="S19" s="22">
        <f t="shared" si="1"/>
        <v>500</v>
      </c>
      <c r="T19" s="29" t="s">
        <v>25</v>
      </c>
    </row>
    <row r="20" spans="1:20" s="24" customFormat="1" ht="38.25" x14ac:dyDescent="0.55000000000000004">
      <c r="A20" s="19" t="s">
        <v>48</v>
      </c>
      <c r="B20" s="32" t="s">
        <v>49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1</v>
      </c>
      <c r="L20" s="21">
        <v>0</v>
      </c>
      <c r="M20" s="21">
        <v>0</v>
      </c>
      <c r="N20" s="21">
        <v>0</v>
      </c>
      <c r="O20" s="21">
        <v>0</v>
      </c>
      <c r="P20" s="21">
        <v>1</v>
      </c>
      <c r="Q20" s="22">
        <f t="shared" si="0"/>
        <v>2</v>
      </c>
      <c r="R20" s="22">
        <v>500</v>
      </c>
      <c r="S20" s="22">
        <f t="shared" si="1"/>
        <v>1000</v>
      </c>
      <c r="T20" s="23"/>
    </row>
    <row r="21" spans="1:20" s="24" customFormat="1" ht="38.25" x14ac:dyDescent="0.55000000000000004">
      <c r="A21" s="19" t="s">
        <v>50</v>
      </c>
      <c r="B21" s="32" t="s">
        <v>51</v>
      </c>
      <c r="C21" s="21">
        <v>0</v>
      </c>
      <c r="D21" s="21">
        <v>0</v>
      </c>
      <c r="E21" s="21">
        <v>1</v>
      </c>
      <c r="F21" s="21">
        <v>1</v>
      </c>
      <c r="G21" s="21">
        <v>0</v>
      </c>
      <c r="H21" s="21">
        <v>0</v>
      </c>
      <c r="I21" s="21">
        <v>0</v>
      </c>
      <c r="J21" s="21">
        <v>1</v>
      </c>
      <c r="K21" s="21">
        <v>1</v>
      </c>
      <c r="L21" s="21">
        <v>0</v>
      </c>
      <c r="M21" s="21">
        <v>0</v>
      </c>
      <c r="N21" s="21">
        <v>0</v>
      </c>
      <c r="O21" s="21">
        <v>1</v>
      </c>
      <c r="P21" s="21">
        <v>1</v>
      </c>
      <c r="Q21" s="22">
        <f t="shared" si="0"/>
        <v>6</v>
      </c>
      <c r="R21" s="22">
        <v>500</v>
      </c>
      <c r="S21" s="22">
        <f t="shared" si="1"/>
        <v>3000</v>
      </c>
      <c r="T21" s="23"/>
    </row>
    <row r="22" spans="1:20" s="30" customFormat="1" ht="38.25" x14ac:dyDescent="0.55000000000000004">
      <c r="A22" s="19" t="s">
        <v>52</v>
      </c>
      <c r="B22" s="32" t="s">
        <v>53</v>
      </c>
      <c r="C22" s="28">
        <v>1</v>
      </c>
      <c r="D22" s="28">
        <v>0</v>
      </c>
      <c r="E22" s="21">
        <v>1</v>
      </c>
      <c r="F22" s="28">
        <v>0</v>
      </c>
      <c r="G22" s="28">
        <v>1</v>
      </c>
      <c r="H22" s="28">
        <v>1</v>
      </c>
      <c r="I22" s="28">
        <v>0</v>
      </c>
      <c r="J22" s="28">
        <v>1</v>
      </c>
      <c r="K22" s="28">
        <v>0</v>
      </c>
      <c r="L22" s="28">
        <v>1</v>
      </c>
      <c r="M22" s="28">
        <v>1</v>
      </c>
      <c r="N22" s="28">
        <v>0</v>
      </c>
      <c r="O22" s="28">
        <v>1</v>
      </c>
      <c r="P22" s="28">
        <v>0</v>
      </c>
      <c r="Q22" s="22">
        <f t="shared" si="0"/>
        <v>8</v>
      </c>
      <c r="R22" s="22">
        <v>500</v>
      </c>
      <c r="S22" s="22">
        <f t="shared" si="1"/>
        <v>4000</v>
      </c>
      <c r="T22" s="29" t="s">
        <v>25</v>
      </c>
    </row>
    <row r="23" spans="1:20" s="24" customFormat="1" ht="38.25" x14ac:dyDescent="0.55000000000000004">
      <c r="A23" s="19" t="s">
        <v>52</v>
      </c>
      <c r="B23" s="33" t="s">
        <v>54</v>
      </c>
      <c r="C23" s="21">
        <v>1</v>
      </c>
      <c r="D23" s="21">
        <v>0</v>
      </c>
      <c r="E23" s="21">
        <v>0</v>
      </c>
      <c r="F23" s="21">
        <v>1</v>
      </c>
      <c r="G23" s="21">
        <v>0</v>
      </c>
      <c r="H23" s="21">
        <v>1</v>
      </c>
      <c r="I23" s="21">
        <v>0</v>
      </c>
      <c r="J23" s="21">
        <v>0</v>
      </c>
      <c r="K23" s="21">
        <v>1</v>
      </c>
      <c r="L23" s="21">
        <v>0</v>
      </c>
      <c r="M23" s="21">
        <v>1</v>
      </c>
      <c r="N23" s="21">
        <v>0</v>
      </c>
      <c r="O23" s="21">
        <v>0</v>
      </c>
      <c r="P23" s="21">
        <v>1</v>
      </c>
      <c r="Q23" s="22">
        <f t="shared" si="0"/>
        <v>6</v>
      </c>
      <c r="R23" s="22">
        <v>500</v>
      </c>
      <c r="S23" s="22">
        <f t="shared" si="1"/>
        <v>3000</v>
      </c>
      <c r="T23" s="23"/>
    </row>
    <row r="24" spans="1:20" s="24" customFormat="1" ht="38.25" x14ac:dyDescent="0.55000000000000004">
      <c r="A24" s="19" t="s">
        <v>52</v>
      </c>
      <c r="B24" s="32" t="s">
        <v>55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1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2">
        <f t="shared" si="0"/>
        <v>1</v>
      </c>
      <c r="R24" s="22">
        <v>500</v>
      </c>
      <c r="S24" s="22">
        <f t="shared" si="1"/>
        <v>500</v>
      </c>
      <c r="T24" s="23"/>
    </row>
    <row r="25" spans="1:20" s="24" customFormat="1" ht="38.25" x14ac:dyDescent="0.55000000000000004">
      <c r="A25" s="19" t="s">
        <v>56</v>
      </c>
      <c r="B25" s="32" t="s">
        <v>57</v>
      </c>
      <c r="C25" s="21">
        <v>0</v>
      </c>
      <c r="D25" s="21">
        <v>0</v>
      </c>
      <c r="E25" s="21">
        <v>0</v>
      </c>
      <c r="F25" s="21">
        <v>0</v>
      </c>
      <c r="G25" s="21">
        <v>0</v>
      </c>
      <c r="H25" s="21">
        <v>1</v>
      </c>
      <c r="I25" s="21">
        <v>0</v>
      </c>
      <c r="J25" s="21">
        <v>0</v>
      </c>
      <c r="K25" s="21">
        <v>0</v>
      </c>
      <c r="L25" s="21">
        <v>0</v>
      </c>
      <c r="M25" s="21">
        <v>1</v>
      </c>
      <c r="N25" s="21">
        <v>0</v>
      </c>
      <c r="O25" s="21">
        <v>1</v>
      </c>
      <c r="P25" s="21">
        <v>1</v>
      </c>
      <c r="Q25" s="22">
        <f t="shared" si="0"/>
        <v>4</v>
      </c>
      <c r="R25" s="22">
        <v>500</v>
      </c>
      <c r="S25" s="22">
        <f t="shared" si="1"/>
        <v>2000</v>
      </c>
      <c r="T25" s="23"/>
    </row>
    <row r="26" spans="1:20" s="30" customFormat="1" ht="38.25" x14ac:dyDescent="0.55000000000000004">
      <c r="A26" s="19" t="s">
        <v>56</v>
      </c>
      <c r="B26" s="32" t="s">
        <v>58</v>
      </c>
      <c r="C26" s="28">
        <v>0</v>
      </c>
      <c r="D26" s="28">
        <v>1</v>
      </c>
      <c r="E26" s="21">
        <v>1</v>
      </c>
      <c r="F26" s="28">
        <v>1</v>
      </c>
      <c r="G26" s="28">
        <v>0</v>
      </c>
      <c r="H26" s="28">
        <v>0</v>
      </c>
      <c r="I26" s="28">
        <v>1</v>
      </c>
      <c r="J26" s="28">
        <v>1</v>
      </c>
      <c r="K26" s="28">
        <v>1</v>
      </c>
      <c r="L26" s="28">
        <v>0</v>
      </c>
      <c r="M26" s="28">
        <v>0</v>
      </c>
      <c r="N26" s="28">
        <v>1</v>
      </c>
      <c r="O26" s="28">
        <v>1</v>
      </c>
      <c r="P26" s="28">
        <v>1</v>
      </c>
      <c r="Q26" s="22">
        <f t="shared" si="0"/>
        <v>9</v>
      </c>
      <c r="R26" s="22">
        <v>500</v>
      </c>
      <c r="S26" s="22">
        <f t="shared" si="1"/>
        <v>4500</v>
      </c>
      <c r="T26" s="29" t="s">
        <v>25</v>
      </c>
    </row>
    <row r="27" spans="1:20" s="24" customFormat="1" ht="38.25" x14ac:dyDescent="0.55000000000000004">
      <c r="A27" s="19" t="s">
        <v>56</v>
      </c>
      <c r="B27" s="33" t="s">
        <v>59</v>
      </c>
      <c r="C27" s="21">
        <v>0</v>
      </c>
      <c r="D27" s="21">
        <v>0</v>
      </c>
      <c r="E27" s="21">
        <v>1</v>
      </c>
      <c r="F27" s="21">
        <v>0</v>
      </c>
      <c r="G27" s="21">
        <v>0</v>
      </c>
      <c r="H27" s="21">
        <v>1</v>
      </c>
      <c r="I27" s="21">
        <v>0</v>
      </c>
      <c r="J27" s="21">
        <v>1</v>
      </c>
      <c r="K27" s="21">
        <v>0</v>
      </c>
      <c r="L27" s="21">
        <v>0</v>
      </c>
      <c r="M27" s="21">
        <v>1</v>
      </c>
      <c r="N27" s="21">
        <v>0</v>
      </c>
      <c r="O27" s="21">
        <v>0</v>
      </c>
      <c r="P27" s="21">
        <v>0</v>
      </c>
      <c r="Q27" s="22">
        <f t="shared" si="0"/>
        <v>4</v>
      </c>
      <c r="R27" s="22">
        <v>500</v>
      </c>
      <c r="S27" s="22">
        <f t="shared" si="1"/>
        <v>2000</v>
      </c>
      <c r="T27" s="23"/>
    </row>
    <row r="28" spans="1:20" s="24" customFormat="1" ht="38.25" x14ac:dyDescent="0.55000000000000004">
      <c r="A28" s="19" t="s">
        <v>56</v>
      </c>
      <c r="B28" s="31" t="s">
        <v>60</v>
      </c>
      <c r="C28" s="21">
        <v>1</v>
      </c>
      <c r="D28" s="21">
        <v>0</v>
      </c>
      <c r="E28" s="21">
        <v>0</v>
      </c>
      <c r="F28" s="21">
        <v>0</v>
      </c>
      <c r="G28" s="21">
        <v>0</v>
      </c>
      <c r="H28" s="21">
        <v>1</v>
      </c>
      <c r="I28" s="21">
        <v>0</v>
      </c>
      <c r="J28" s="21">
        <v>0</v>
      </c>
      <c r="K28" s="21">
        <v>0</v>
      </c>
      <c r="L28" s="21">
        <v>0</v>
      </c>
      <c r="M28" s="21">
        <v>1</v>
      </c>
      <c r="N28" s="21">
        <v>0</v>
      </c>
      <c r="O28" s="21">
        <v>0</v>
      </c>
      <c r="P28" s="21">
        <v>0</v>
      </c>
      <c r="Q28" s="22">
        <f t="shared" si="0"/>
        <v>3</v>
      </c>
      <c r="R28" s="22">
        <v>500</v>
      </c>
      <c r="S28" s="22">
        <f t="shared" si="1"/>
        <v>1500</v>
      </c>
      <c r="T28" s="23"/>
    </row>
    <row r="29" spans="1:20" s="24" customFormat="1" ht="38.25" x14ac:dyDescent="0.55000000000000004">
      <c r="A29" s="34" t="s">
        <v>56</v>
      </c>
      <c r="B29" s="32" t="s">
        <v>61</v>
      </c>
      <c r="C29" s="21">
        <v>0</v>
      </c>
      <c r="D29" s="21">
        <v>1</v>
      </c>
      <c r="E29" s="21">
        <v>1</v>
      </c>
      <c r="F29" s="21">
        <v>1</v>
      </c>
      <c r="G29" s="21">
        <v>1</v>
      </c>
      <c r="H29" s="21">
        <v>0</v>
      </c>
      <c r="I29" s="21">
        <v>1</v>
      </c>
      <c r="J29" s="21">
        <v>1</v>
      </c>
      <c r="K29" s="21">
        <v>1</v>
      </c>
      <c r="L29" s="21">
        <v>1</v>
      </c>
      <c r="M29" s="21">
        <v>0</v>
      </c>
      <c r="N29" s="21">
        <v>1</v>
      </c>
      <c r="O29" s="21">
        <v>1</v>
      </c>
      <c r="P29" s="21">
        <v>1</v>
      </c>
      <c r="Q29" s="22">
        <f t="shared" si="0"/>
        <v>11</v>
      </c>
      <c r="R29" s="22">
        <v>500</v>
      </c>
      <c r="S29" s="22">
        <f t="shared" si="1"/>
        <v>5500</v>
      </c>
      <c r="T29" s="23"/>
    </row>
    <row r="30" spans="1:20" s="24" customFormat="1" ht="38.25" x14ac:dyDescent="0.55000000000000004">
      <c r="A30" s="34" t="s">
        <v>56</v>
      </c>
      <c r="B30" s="32" t="s">
        <v>62</v>
      </c>
      <c r="C30" s="21">
        <v>0</v>
      </c>
      <c r="D30" s="21">
        <v>1</v>
      </c>
      <c r="E30" s="21">
        <v>1</v>
      </c>
      <c r="F30" s="21">
        <v>1</v>
      </c>
      <c r="G30" s="21">
        <v>1</v>
      </c>
      <c r="H30" s="21">
        <v>0</v>
      </c>
      <c r="I30" s="21">
        <v>1</v>
      </c>
      <c r="J30" s="21">
        <v>1</v>
      </c>
      <c r="K30" s="21">
        <v>1</v>
      </c>
      <c r="L30" s="21">
        <v>1</v>
      </c>
      <c r="M30" s="21">
        <v>0</v>
      </c>
      <c r="N30" s="21">
        <v>1</v>
      </c>
      <c r="O30" s="21">
        <v>1</v>
      </c>
      <c r="P30" s="21">
        <v>1</v>
      </c>
      <c r="Q30" s="22">
        <f t="shared" si="0"/>
        <v>11</v>
      </c>
      <c r="R30" s="22">
        <v>500</v>
      </c>
      <c r="S30" s="22">
        <f t="shared" si="1"/>
        <v>5500</v>
      </c>
      <c r="T30" s="23"/>
    </row>
    <row r="31" spans="1:20" s="24" customFormat="1" ht="38.25" x14ac:dyDescent="0.55000000000000004">
      <c r="A31" s="34" t="s">
        <v>56</v>
      </c>
      <c r="B31" s="35" t="s">
        <v>63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1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2">
        <f t="shared" si="0"/>
        <v>1</v>
      </c>
      <c r="R31" s="22">
        <v>500</v>
      </c>
      <c r="S31" s="22">
        <f t="shared" si="1"/>
        <v>500</v>
      </c>
      <c r="T31" s="23"/>
    </row>
    <row r="32" spans="1:20" s="30" customFormat="1" ht="38.25" x14ac:dyDescent="0.55000000000000004">
      <c r="A32" s="36" t="s">
        <v>56</v>
      </c>
      <c r="B32" s="32" t="s">
        <v>64</v>
      </c>
      <c r="C32" s="28">
        <v>0</v>
      </c>
      <c r="D32" s="28">
        <v>1</v>
      </c>
      <c r="E32" s="21">
        <v>0</v>
      </c>
      <c r="F32" s="28">
        <v>0</v>
      </c>
      <c r="G32" s="28">
        <v>0</v>
      </c>
      <c r="H32" s="28">
        <v>0</v>
      </c>
      <c r="I32" s="28">
        <v>1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2">
        <f t="shared" si="0"/>
        <v>2</v>
      </c>
      <c r="R32" s="22">
        <v>500</v>
      </c>
      <c r="S32" s="22">
        <f t="shared" si="1"/>
        <v>1000</v>
      </c>
      <c r="T32" s="29" t="s">
        <v>25</v>
      </c>
    </row>
    <row r="33" spans="1:247" s="30" customFormat="1" ht="38.25" x14ac:dyDescent="0.55000000000000004">
      <c r="A33" s="36" t="s">
        <v>65</v>
      </c>
      <c r="B33" s="32" t="s">
        <v>66</v>
      </c>
      <c r="C33" s="28">
        <v>0</v>
      </c>
      <c r="D33" s="28">
        <v>0</v>
      </c>
      <c r="E33" s="21">
        <v>0</v>
      </c>
      <c r="F33" s="28">
        <v>1</v>
      </c>
      <c r="G33" s="28">
        <v>0</v>
      </c>
      <c r="H33" s="28">
        <v>0</v>
      </c>
      <c r="I33" s="28">
        <v>0</v>
      </c>
      <c r="J33" s="28">
        <v>0</v>
      </c>
      <c r="K33" s="28">
        <v>1</v>
      </c>
      <c r="L33" s="28">
        <v>0</v>
      </c>
      <c r="M33" s="28">
        <v>0</v>
      </c>
      <c r="N33" s="28">
        <v>0</v>
      </c>
      <c r="O33" s="28">
        <v>0</v>
      </c>
      <c r="P33" s="28">
        <v>1</v>
      </c>
      <c r="Q33" s="22">
        <f t="shared" si="0"/>
        <v>3</v>
      </c>
      <c r="R33" s="22">
        <v>500</v>
      </c>
      <c r="S33" s="22">
        <f t="shared" si="1"/>
        <v>1500</v>
      </c>
      <c r="T33" s="29" t="s">
        <v>25</v>
      </c>
    </row>
    <row r="34" spans="1:247" s="24" customFormat="1" ht="38.25" x14ac:dyDescent="0.55000000000000004">
      <c r="A34" s="36" t="s">
        <v>65</v>
      </c>
      <c r="B34" s="32" t="s">
        <v>67</v>
      </c>
      <c r="C34" s="21">
        <v>0</v>
      </c>
      <c r="D34" s="21">
        <v>1</v>
      </c>
      <c r="E34" s="21">
        <v>1</v>
      </c>
      <c r="F34" s="21">
        <v>0</v>
      </c>
      <c r="G34" s="21">
        <v>1</v>
      </c>
      <c r="H34" s="21">
        <v>0</v>
      </c>
      <c r="I34" s="21">
        <v>1</v>
      </c>
      <c r="J34" s="21">
        <v>0</v>
      </c>
      <c r="K34" s="21">
        <v>0</v>
      </c>
      <c r="L34" s="21">
        <v>1</v>
      </c>
      <c r="M34" s="21">
        <v>0</v>
      </c>
      <c r="N34" s="21">
        <v>1</v>
      </c>
      <c r="O34" s="21">
        <v>1</v>
      </c>
      <c r="P34" s="21">
        <v>0</v>
      </c>
      <c r="Q34" s="22">
        <f>SUM(C34:P34)</f>
        <v>7</v>
      </c>
      <c r="R34" s="22">
        <v>500</v>
      </c>
      <c r="S34" s="22">
        <f>Q34*R34</f>
        <v>3500</v>
      </c>
      <c r="T34" s="23"/>
    </row>
    <row r="35" spans="1:247" s="24" customFormat="1" ht="38.25" x14ac:dyDescent="0.55000000000000004">
      <c r="A35" s="36" t="s">
        <v>68</v>
      </c>
      <c r="B35" s="32" t="s">
        <v>69</v>
      </c>
      <c r="C35" s="21">
        <v>0</v>
      </c>
      <c r="D35" s="21">
        <v>1</v>
      </c>
      <c r="E35" s="21">
        <v>1</v>
      </c>
      <c r="F35" s="21">
        <v>0</v>
      </c>
      <c r="G35" s="21">
        <v>0</v>
      </c>
      <c r="H35" s="21">
        <v>0</v>
      </c>
      <c r="I35" s="21">
        <v>1</v>
      </c>
      <c r="J35" s="21">
        <v>1</v>
      </c>
      <c r="K35" s="21">
        <v>0</v>
      </c>
      <c r="L35" s="21">
        <v>0</v>
      </c>
      <c r="M35" s="21">
        <v>1</v>
      </c>
      <c r="N35" s="21">
        <v>1</v>
      </c>
      <c r="O35" s="21">
        <v>0</v>
      </c>
      <c r="P35" s="21">
        <v>0</v>
      </c>
      <c r="Q35" s="22">
        <f>SUM(C35:P35)</f>
        <v>6</v>
      </c>
      <c r="R35" s="22">
        <v>500</v>
      </c>
      <c r="S35" s="22">
        <f>Q35*R35</f>
        <v>3000</v>
      </c>
      <c r="T35" s="23"/>
    </row>
    <row r="36" spans="1:247" s="24" customFormat="1" ht="36.75" x14ac:dyDescent="0.55000000000000004">
      <c r="A36" s="37"/>
      <c r="B36" s="37"/>
      <c r="C36" s="21">
        <f t="shared" ref="C36:P36" si="2">SUM(C4:C35)</f>
        <v>7</v>
      </c>
      <c r="D36" s="21">
        <f t="shared" si="2"/>
        <v>13</v>
      </c>
      <c r="E36" s="21">
        <f t="shared" si="2"/>
        <v>13</v>
      </c>
      <c r="F36" s="21">
        <f t="shared" si="2"/>
        <v>13</v>
      </c>
      <c r="G36" s="21">
        <f t="shared" si="2"/>
        <v>7</v>
      </c>
      <c r="H36" s="21">
        <f t="shared" si="2"/>
        <v>13</v>
      </c>
      <c r="I36" s="21">
        <f t="shared" si="2"/>
        <v>13</v>
      </c>
      <c r="J36" s="21">
        <f t="shared" si="2"/>
        <v>13</v>
      </c>
      <c r="K36" s="21">
        <f t="shared" si="2"/>
        <v>13</v>
      </c>
      <c r="L36" s="21">
        <f t="shared" si="2"/>
        <v>7</v>
      </c>
      <c r="M36" s="21">
        <f t="shared" si="2"/>
        <v>13</v>
      </c>
      <c r="N36" s="21">
        <f t="shared" si="2"/>
        <v>13</v>
      </c>
      <c r="O36" s="21">
        <f t="shared" si="2"/>
        <v>13</v>
      </c>
      <c r="P36" s="21">
        <f t="shared" si="2"/>
        <v>13</v>
      </c>
      <c r="Q36" s="22">
        <f>SUM(C36:P36)</f>
        <v>164</v>
      </c>
      <c r="R36" s="22">
        <v>500</v>
      </c>
      <c r="S36" s="22">
        <f>SUM(S4:S35)</f>
        <v>82000</v>
      </c>
      <c r="T36" s="23"/>
    </row>
    <row r="37" spans="1:247" s="24" customFormat="1" ht="36.75" x14ac:dyDescent="0.55000000000000004">
      <c r="A37" s="38"/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40"/>
      <c r="R37" s="40"/>
      <c r="S37" s="40"/>
      <c r="T37" s="41"/>
    </row>
    <row r="38" spans="1:247" ht="36.75" x14ac:dyDescent="0.4">
      <c r="B38" s="43" t="s">
        <v>70</v>
      </c>
      <c r="C38" s="44" t="s">
        <v>25</v>
      </c>
      <c r="D38" s="45"/>
      <c r="E38" s="45" t="s">
        <v>71</v>
      </c>
      <c r="F38" s="46"/>
      <c r="G38" s="45"/>
      <c r="H38" s="45"/>
      <c r="I38" s="45"/>
      <c r="J38" s="47" t="s">
        <v>72</v>
      </c>
      <c r="K38" s="46"/>
      <c r="L38" s="46"/>
      <c r="N38" s="46" t="s">
        <v>73</v>
      </c>
      <c r="O38" s="46"/>
      <c r="Q38" s="48"/>
      <c r="R38" s="46" t="s">
        <v>74</v>
      </c>
      <c r="S38" s="49"/>
      <c r="T38" s="49"/>
    </row>
    <row r="39" spans="1:247" ht="36.75" x14ac:dyDescent="0.4">
      <c r="B39" s="47"/>
      <c r="C39" s="45"/>
      <c r="D39" s="45"/>
      <c r="E39" s="45"/>
      <c r="F39" s="46"/>
      <c r="G39" s="45"/>
      <c r="H39" s="45"/>
      <c r="I39" s="45"/>
      <c r="J39" s="47"/>
      <c r="K39" s="46"/>
      <c r="L39" s="46"/>
      <c r="N39" s="46"/>
      <c r="O39" s="46"/>
      <c r="P39" s="46"/>
      <c r="U39" s="49"/>
      <c r="V39" s="49"/>
    </row>
    <row r="40" spans="1:247" ht="36.75" x14ac:dyDescent="0.4">
      <c r="B40" s="47"/>
      <c r="C40" s="45"/>
      <c r="D40" s="45"/>
      <c r="E40" s="51" t="s">
        <v>75</v>
      </c>
      <c r="F40" s="46"/>
      <c r="G40" s="45"/>
      <c r="H40" s="45"/>
      <c r="I40" s="45"/>
      <c r="J40" s="52" t="s">
        <v>76</v>
      </c>
      <c r="K40" s="46"/>
      <c r="L40" s="46"/>
      <c r="N40" s="46" t="s">
        <v>77</v>
      </c>
      <c r="O40" s="46"/>
      <c r="P40" s="46"/>
      <c r="W40" s="53"/>
      <c r="X40" s="54"/>
      <c r="Y40" s="54"/>
      <c r="Z40" s="54"/>
      <c r="AA40" s="54"/>
      <c r="AB40" s="54"/>
      <c r="AE40" s="53"/>
      <c r="AF40" s="49"/>
      <c r="AG40" s="49"/>
      <c r="AH40" s="49"/>
      <c r="AI40" s="54"/>
      <c r="AJ40" s="49"/>
      <c r="AK40" s="49"/>
      <c r="AL40" s="49"/>
      <c r="AM40" s="53"/>
      <c r="AN40" s="54"/>
      <c r="AO40" s="54"/>
      <c r="AP40" s="54"/>
      <c r="AQ40" s="54"/>
      <c r="AR40" s="54"/>
      <c r="AU40" s="53"/>
      <c r="AV40" s="49"/>
      <c r="AW40" s="49"/>
      <c r="AX40" s="49"/>
      <c r="AY40" s="54"/>
      <c r="AZ40" s="49"/>
      <c r="BA40" s="49"/>
      <c r="BB40" s="49"/>
      <c r="BC40" s="53"/>
      <c r="BD40" s="54"/>
      <c r="BE40" s="54"/>
      <c r="BF40" s="54"/>
      <c r="BG40" s="54"/>
      <c r="BH40" s="54"/>
      <c r="BK40" s="53"/>
      <c r="BL40" s="49"/>
      <c r="BM40" s="49"/>
      <c r="BN40" s="49"/>
      <c r="BO40" s="54"/>
      <c r="BP40" s="49"/>
      <c r="BQ40" s="49"/>
      <c r="BR40" s="49"/>
      <c r="BS40" s="53"/>
      <c r="BT40" s="54"/>
      <c r="BU40" s="54"/>
      <c r="BV40" s="54"/>
      <c r="BW40" s="54"/>
      <c r="BX40" s="54"/>
      <c r="CA40" s="53"/>
      <c r="CB40" s="49"/>
      <c r="CC40" s="49"/>
      <c r="CD40" s="49"/>
      <c r="CE40" s="54"/>
      <c r="CF40" s="49"/>
      <c r="CG40" s="49"/>
      <c r="CH40" s="49"/>
      <c r="CI40" s="53"/>
      <c r="CJ40" s="54"/>
      <c r="CK40" s="54"/>
      <c r="CL40" s="54"/>
      <c r="CM40" s="54"/>
      <c r="CN40" s="54"/>
      <c r="CQ40" s="53"/>
      <c r="CR40" s="49"/>
      <c r="CS40" s="49"/>
      <c r="CT40" s="49"/>
      <c r="CU40" s="54"/>
      <c r="CV40" s="49"/>
      <c r="CW40" s="49"/>
      <c r="CX40" s="49"/>
      <c r="CY40" s="53"/>
      <c r="CZ40" s="54"/>
      <c r="DA40" s="54"/>
      <c r="DB40" s="54"/>
      <c r="DC40" s="54"/>
      <c r="DD40" s="54"/>
      <c r="DG40" s="53"/>
      <c r="DH40" s="49"/>
      <c r="DI40" s="49"/>
      <c r="DJ40" s="49"/>
      <c r="DK40" s="54"/>
      <c r="DL40" s="49"/>
      <c r="DM40" s="49"/>
      <c r="DN40" s="49"/>
      <c r="DO40" s="53"/>
      <c r="DP40" s="54"/>
      <c r="DQ40" s="54"/>
      <c r="DR40" s="54"/>
      <c r="DS40" s="54"/>
      <c r="DT40" s="54"/>
      <c r="DW40" s="53"/>
      <c r="DX40" s="49"/>
      <c r="DY40" s="49"/>
      <c r="DZ40" s="49"/>
      <c r="EA40" s="54"/>
      <c r="EB40" s="49"/>
      <c r="EC40" s="49"/>
      <c r="ED40" s="49"/>
      <c r="EE40" s="53"/>
      <c r="EF40" s="54"/>
      <c r="EG40" s="54"/>
      <c r="EH40" s="54"/>
      <c r="EI40" s="54"/>
      <c r="EJ40" s="54"/>
      <c r="EM40" s="53"/>
      <c r="EN40" s="49"/>
      <c r="EO40" s="49"/>
      <c r="EP40" s="49"/>
      <c r="EQ40" s="54"/>
      <c r="ER40" s="49"/>
      <c r="ES40" s="49"/>
      <c r="ET40" s="49"/>
      <c r="EU40" s="53"/>
      <c r="EV40" s="54"/>
      <c r="EW40" s="54"/>
      <c r="EX40" s="54"/>
      <c r="EY40" s="54"/>
      <c r="EZ40" s="54"/>
      <c r="FC40" s="53"/>
      <c r="FD40" s="49"/>
      <c r="FE40" s="49"/>
      <c r="FF40" s="49"/>
      <c r="FG40" s="54"/>
      <c r="FH40" s="49"/>
      <c r="FI40" s="49"/>
      <c r="FJ40" s="49"/>
      <c r="FK40" s="53"/>
      <c r="FL40" s="54"/>
      <c r="FM40" s="54"/>
      <c r="FN40" s="54"/>
      <c r="FO40" s="54"/>
      <c r="FP40" s="54"/>
      <c r="FS40" s="53"/>
      <c r="FT40" s="49"/>
      <c r="FU40" s="49"/>
      <c r="FV40" s="49"/>
      <c r="FW40" s="54"/>
      <c r="FX40" s="49"/>
      <c r="FY40" s="49"/>
      <c r="FZ40" s="49"/>
      <c r="GA40" s="53"/>
      <c r="GB40" s="54"/>
      <c r="GC40" s="54"/>
      <c r="GD40" s="54"/>
      <c r="GE40" s="54"/>
      <c r="GF40" s="54"/>
      <c r="GI40" s="53"/>
      <c r="GJ40" s="49"/>
      <c r="GK40" s="49"/>
      <c r="GL40" s="49"/>
      <c r="GM40" s="54"/>
      <c r="GN40" s="49"/>
      <c r="GO40" s="49"/>
      <c r="GP40" s="49"/>
      <c r="GQ40" s="53"/>
      <c r="GR40" s="54"/>
      <c r="GS40" s="54"/>
      <c r="GT40" s="54"/>
      <c r="GU40" s="54"/>
      <c r="GV40" s="54"/>
      <c r="GY40" s="53"/>
      <c r="GZ40" s="49"/>
      <c r="HA40" s="49"/>
      <c r="HB40" s="49"/>
      <c r="HC40" s="54"/>
      <c r="HD40" s="49"/>
      <c r="HE40" s="49"/>
      <c r="HF40" s="49"/>
      <c r="HG40" s="53"/>
      <c r="HH40" s="54"/>
      <c r="HI40" s="54"/>
      <c r="HJ40" s="54"/>
      <c r="HK40" s="54"/>
      <c r="HL40" s="54"/>
      <c r="HO40" s="53"/>
      <c r="HP40" s="49"/>
      <c r="HQ40" s="49"/>
      <c r="HR40" s="49"/>
      <c r="HS40" s="54"/>
      <c r="HT40" s="49"/>
      <c r="HU40" s="49"/>
      <c r="HV40" s="49"/>
      <c r="HW40" s="53"/>
      <c r="HX40" s="54"/>
      <c r="HY40" s="54"/>
      <c r="HZ40" s="54"/>
      <c r="IA40" s="54"/>
      <c r="IB40" s="54"/>
      <c r="IE40" s="53"/>
      <c r="IF40" s="49"/>
      <c r="IG40" s="49"/>
      <c r="IH40" s="49"/>
      <c r="II40" s="54"/>
      <c r="IJ40" s="49"/>
      <c r="IK40" s="49"/>
      <c r="IL40" s="49"/>
      <c r="IM40" s="53"/>
    </row>
    <row r="41" spans="1:247" ht="36.75" x14ac:dyDescent="0.55000000000000004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</row>
  </sheetData>
  <mergeCells count="1">
    <mergeCell ref="A1:Q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115.6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2026-09-21T00:26:59Z</dcterms:modified>
</cp:coreProperties>
</file>